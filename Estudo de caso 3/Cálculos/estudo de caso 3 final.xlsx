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Histórico e Regressão" sheetId="1" r:id="rId4"/>
    <sheet state="visible" name="2. Entrada e Saída" sheetId="2" r:id="rId5"/>
  </sheets>
  <definedNames/>
  <calcPr/>
  <extLst>
    <ext uri="GoogleSheetsCustomDataVersion2">
      <go:sheetsCustomData xmlns:go="http://customooxmlschemas.google.com/" r:id="rId6" roundtripDataChecksum="XgWDzBHdC4Za5OrT+d4/1CYiYKsrcWIJQIMWgvUqy9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8">
      <text>
        <t xml:space="preserve">Valor de garrafas a serem vendidas no próximo mês
======</t>
      </text>
    </comment>
  </commentList>
</comments>
</file>

<file path=xl/sharedStrings.xml><?xml version="1.0" encoding="utf-8"?>
<sst xmlns="http://schemas.openxmlformats.org/spreadsheetml/2006/main" count="70" uniqueCount="65">
  <si>
    <t>Previsão de Vendas - Regressão linear Simples</t>
  </si>
  <si>
    <t>Vendas mensais históricas(mil garrafas 600 ml)</t>
  </si>
  <si>
    <t>Cálculos da Regressão Linear y = a + b·x</t>
  </si>
  <si>
    <t>Mês (x)</t>
  </si>
  <si>
    <t>Vendas mensais (y) — mil garrafas</t>
  </si>
  <si>
    <t>Período</t>
  </si>
  <si>
    <t>Parâmetro</t>
  </si>
  <si>
    <t>Fórmula/Descrição</t>
  </si>
  <si>
    <t>Valor</t>
  </si>
  <si>
    <t>Mês 1</t>
  </si>
  <si>
    <t>n (observações)</t>
  </si>
  <si>
    <t>Quantidades de meses</t>
  </si>
  <si>
    <t>Mês 2</t>
  </si>
  <si>
    <t>x̄ (média de x)</t>
  </si>
  <si>
    <t>Mês 3</t>
  </si>
  <si>
    <t>ȳ (média de y)</t>
  </si>
  <si>
    <t>Mês 4</t>
  </si>
  <si>
    <t>Σ(x−x̄)·(y−ȳ)</t>
  </si>
  <si>
    <t>Mês 5</t>
  </si>
  <si>
    <t>Σ(x−x̄)²</t>
  </si>
  <si>
    <t>Mês 6</t>
  </si>
  <si>
    <t>b (coef. angular)</t>
  </si>
  <si>
    <t>Σ(x-x̄)·(y-ȳ) / Σ(x-x̄)²</t>
  </si>
  <si>
    <t>Mês 7</t>
  </si>
  <si>
    <t>a (coef. linear)</t>
  </si>
  <si>
    <t>ȳ - b·x̄</t>
  </si>
  <si>
    <t>Mês 8</t>
  </si>
  <si>
    <t>r (correlação)</t>
  </si>
  <si>
    <t>Mês 9</t>
  </si>
  <si>
    <t>r² (deteminação)</t>
  </si>
  <si>
    <t>Mês 10</t>
  </si>
  <si>
    <t>Mês 11</t>
  </si>
  <si>
    <t>Equação e Previsão</t>
  </si>
  <si>
    <t>Mês 12</t>
  </si>
  <si>
    <t>item</t>
  </si>
  <si>
    <t>Descrição</t>
  </si>
  <si>
    <t>Resultado</t>
  </si>
  <si>
    <t>TOTAL</t>
  </si>
  <si>
    <t>Equação</t>
  </si>
  <si>
    <t>y = a + bx</t>
  </si>
  <si>
    <t>y = 1077,14 + 111,85x</t>
  </si>
  <si>
    <t>Mês previsto (x = 13)</t>
  </si>
  <si>
    <t>Previsão para o 13° mês</t>
  </si>
  <si>
    <t>Previsto mês(mil garrafas)</t>
  </si>
  <si>
    <t>a + b·13</t>
  </si>
  <si>
    <t>Estoque</t>
  </si>
  <si>
    <t>Entrada</t>
  </si>
  <si>
    <t>Saída</t>
  </si>
  <si>
    <t>Insumo</t>
  </si>
  <si>
    <t>Qtd por garrafa</t>
  </si>
  <si>
    <t>Unidade</t>
  </si>
  <si>
    <t>Insumos Finais</t>
  </si>
  <si>
    <t>Mês</t>
  </si>
  <si>
    <t>Garrafas 600 ml</t>
  </si>
  <si>
    <t>Água</t>
  </si>
  <si>
    <t>L</t>
  </si>
  <si>
    <t>Malte de cevada</t>
  </si>
  <si>
    <t>g</t>
  </si>
  <si>
    <t>Lúpulo</t>
  </si>
  <si>
    <t>Levedura</t>
  </si>
  <si>
    <t>Açúcar para carbonatação</t>
  </si>
  <si>
    <t>Garrafa de vidro</t>
  </si>
  <si>
    <t>uni</t>
  </si>
  <si>
    <t>Tampa metálica</t>
  </si>
  <si>
    <t>Rótulo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</si>
</sst>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#,##0.0000000"/>
  </numFmts>
  <fonts count="18">
    <font>
      <sz val="11.0"/>
      <color theme="1"/>
      <name val="Aptos Narrow"/>
      <scheme val="minor"/>
    </font>
    <font>
      <b/>
      <sz val="13.0"/>
      <color rgb="FFFFFFFF"/>
      <name val="Arial"/>
    </font>
    <font/>
    <font>
      <sz val="11.0"/>
      <color theme="1"/>
      <name val="Arial"/>
    </font>
    <font>
      <b/>
      <sz val="10.0"/>
      <color rgb="FF085041"/>
      <name val="Arial"/>
    </font>
    <font>
      <b/>
      <sz val="10.0"/>
      <color rgb="FFFFFFFF"/>
      <name val="Arial"/>
    </font>
    <font>
      <sz val="11.0"/>
      <color rgb="FF0000FF"/>
      <name val="Arial"/>
    </font>
    <font>
      <sz val="11.0"/>
      <color rgb="FF444441"/>
      <name val="Arial"/>
    </font>
    <font>
      <sz val="11.0"/>
      <color rgb="FF000000"/>
      <name val="Arial"/>
    </font>
    <font>
      <i/>
      <sz val="9.0"/>
      <color rgb="FF5F5E5A"/>
      <name val="Arial"/>
    </font>
    <font>
      <b/>
      <sz val="11.0"/>
      <color rgb="FF085041"/>
      <name val="Arial"/>
    </font>
    <font>
      <b/>
      <sz val="11.0"/>
      <color rgb="FF000000"/>
      <name val="Arial"/>
    </font>
    <font>
      <i/>
      <sz val="11.0"/>
      <color rgb="FF5F5E5A"/>
      <name val="Arial"/>
    </font>
    <font>
      <i/>
      <sz val="11.0"/>
      <color rgb="FF085041"/>
      <name val="Arial"/>
    </font>
    <font>
      <color theme="1"/>
      <name val="Arial"/>
    </font>
    <font>
      <color theme="1"/>
      <name val="Inherit"/>
    </font>
    <font>
      <color theme="1"/>
      <name val="Aptos Narrow"/>
      <scheme val="minor"/>
    </font>
    <font>
      <b/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85041"/>
        <bgColor rgb="FF085041"/>
      </patternFill>
    </fill>
    <fill>
      <patternFill patternType="solid">
        <fgColor rgb="FFE1F5EE"/>
        <bgColor rgb="FFE1F5EE"/>
      </patternFill>
    </fill>
    <fill>
      <patternFill patternType="solid">
        <fgColor rgb="FF1D9E75"/>
        <bgColor rgb="FF1D9E75"/>
      </patternFill>
    </fill>
    <fill>
      <patternFill patternType="solid">
        <fgColor rgb="FFF5FAF7"/>
        <bgColor rgb="FFF5FAF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BFBFBF"/>
      </bottom>
    </border>
    <border>
      <top/>
      <bottom style="thin">
        <color rgb="FFBFBFBF"/>
      </bottom>
    </border>
    <border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8" fillId="5" fontId="6" numFmtId="1" xfId="0" applyAlignment="1" applyBorder="1" applyFill="1" applyFont="1" applyNumberFormat="1">
      <alignment horizontal="center" vertical="center"/>
    </xf>
    <xf borderId="8" fillId="5" fontId="6" numFmtId="4" xfId="0" applyAlignment="1" applyBorder="1" applyFont="1" applyNumberFormat="1">
      <alignment horizontal="center" vertical="center"/>
    </xf>
    <xf borderId="8" fillId="5" fontId="7" numFmtId="0" xfId="0" applyAlignment="1" applyBorder="1" applyFont="1">
      <alignment horizontal="center" vertical="center"/>
    </xf>
    <xf borderId="8" fillId="5" fontId="8" numFmtId="0" xfId="0" applyAlignment="1" applyBorder="1" applyFont="1">
      <alignment horizontal="left" vertical="center"/>
    </xf>
    <xf borderId="8" fillId="5" fontId="9" numFmtId="0" xfId="0" applyAlignment="1" applyBorder="1" applyFont="1">
      <alignment horizontal="left" vertical="center"/>
    </xf>
    <xf borderId="8" fillId="5" fontId="8" numFmtId="4" xfId="0" applyAlignment="1" applyBorder="1" applyFont="1" applyNumberFormat="1">
      <alignment horizontal="center" vertical="center"/>
    </xf>
    <xf borderId="8" fillId="6" fontId="6" numFmtId="1" xfId="0" applyAlignment="1" applyBorder="1" applyFill="1" applyFont="1" applyNumberFormat="1">
      <alignment horizontal="center" vertical="center"/>
    </xf>
    <xf borderId="8" fillId="6" fontId="6" numFmtId="4" xfId="0" applyAlignment="1" applyBorder="1" applyFont="1" applyNumberFormat="1">
      <alignment horizontal="center" vertical="center"/>
    </xf>
    <xf borderId="8" fillId="6" fontId="7" numFmtId="0" xfId="0" applyAlignment="1" applyBorder="1" applyFont="1">
      <alignment horizontal="center" vertical="center"/>
    </xf>
    <xf borderId="8" fillId="6" fontId="8" numFmtId="0" xfId="0" applyAlignment="1" applyBorder="1" applyFont="1">
      <alignment horizontal="left" vertical="center"/>
    </xf>
    <xf borderId="8" fillId="6" fontId="9" numFmtId="0" xfId="0" applyAlignment="1" applyBorder="1" applyFont="1">
      <alignment horizontal="left" vertical="center"/>
    </xf>
    <xf borderId="8" fillId="6" fontId="8" numFmtId="2" xfId="0" applyAlignment="1" applyBorder="1" applyFont="1" applyNumberFormat="1">
      <alignment horizontal="center" vertical="center"/>
    </xf>
    <xf borderId="8" fillId="5" fontId="9" numFmtId="2" xfId="0" applyAlignment="1" applyBorder="1" applyFont="1" applyNumberFormat="1">
      <alignment horizontal="left" vertical="center"/>
    </xf>
    <xf borderId="8" fillId="5" fontId="8" numFmtId="2" xfId="0" applyAlignment="1" applyBorder="1" applyFont="1" applyNumberFormat="1">
      <alignment horizontal="center" vertical="center"/>
    </xf>
    <xf borderId="8" fillId="6" fontId="9" numFmtId="4" xfId="0" applyAlignment="1" applyBorder="1" applyFont="1" applyNumberFormat="1">
      <alignment horizontal="left" vertical="center"/>
    </xf>
    <xf borderId="8" fillId="6" fontId="8" numFmtId="4" xfId="0" applyAlignment="1" applyBorder="1" applyFont="1" applyNumberFormat="1">
      <alignment horizontal="center" vertical="center"/>
    </xf>
    <xf borderId="8" fillId="5" fontId="9" numFmtId="4" xfId="0" applyAlignment="1" applyBorder="1" applyFont="1" applyNumberFormat="1">
      <alignment horizontal="left" vertical="center"/>
    </xf>
    <xf borderId="8" fillId="6" fontId="10" numFmtId="0" xfId="0" applyAlignment="1" applyBorder="1" applyFont="1">
      <alignment horizontal="left" vertical="center"/>
    </xf>
    <xf borderId="8" fillId="5" fontId="10" numFmtId="0" xfId="0" applyAlignment="1" applyBorder="1" applyFont="1">
      <alignment horizontal="left" vertical="center"/>
    </xf>
    <xf borderId="8" fillId="5" fontId="8" numFmtId="164" xfId="0" applyAlignment="1" applyBorder="1" applyFont="1" applyNumberFormat="1">
      <alignment horizontal="center" readingOrder="0" vertical="center"/>
    </xf>
    <xf borderId="8" fillId="6" fontId="8" numFmtId="165" xfId="0" applyAlignment="1" applyBorder="1" applyFont="1" applyNumberFormat="1">
      <alignment horizontal="center" vertical="center"/>
    </xf>
    <xf borderId="8" fillId="5" fontId="9" numFmtId="165" xfId="0" applyAlignment="1" applyBorder="1" applyFont="1" applyNumberFormat="1">
      <alignment horizontal="left" vertical="center"/>
    </xf>
    <xf borderId="8" fillId="5" fontId="8" numFmtId="165" xfId="0" applyAlignment="1" applyBorder="1" applyFont="1" applyNumberFormat="1">
      <alignment horizontal="center" vertical="center"/>
    </xf>
    <xf borderId="8" fillId="3" fontId="11" numFmtId="0" xfId="0" applyAlignment="1" applyBorder="1" applyFont="1">
      <alignment horizontal="center" vertical="center"/>
    </xf>
    <xf borderId="8" fillId="3" fontId="11" numFmtId="4" xfId="0" applyAlignment="1" applyBorder="1" applyFont="1" applyNumberFormat="1">
      <alignment horizontal="center" vertical="center"/>
    </xf>
    <xf borderId="8" fillId="5" fontId="11" numFmtId="0" xfId="0" applyAlignment="1" applyBorder="1" applyFont="1">
      <alignment horizontal="left" vertical="center"/>
    </xf>
    <xf borderId="8" fillId="5" fontId="8" numFmtId="4" xfId="0" applyAlignment="1" applyBorder="1" applyFont="1" applyNumberFormat="1">
      <alignment horizontal="center" readingOrder="0" vertical="center"/>
    </xf>
    <xf borderId="8" fillId="6" fontId="11" numFmtId="0" xfId="0" applyAlignment="1" applyBorder="1" applyFont="1">
      <alignment horizontal="left" vertical="center"/>
    </xf>
    <xf borderId="8" fillId="6" fontId="12" numFmtId="0" xfId="0" applyAlignment="1" applyBorder="1" applyFont="1">
      <alignment horizontal="left" vertical="center"/>
    </xf>
    <xf borderId="8" fillId="3" fontId="13" numFmtId="0" xfId="0" applyAlignment="1" applyBorder="1" applyFont="1">
      <alignment horizontal="left" readingOrder="0" vertical="center"/>
    </xf>
    <xf borderId="8" fillId="3" fontId="10" numFmtId="3" xfId="0" applyAlignment="1" applyBorder="1" applyFont="1" applyNumberForma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vertical="center"/>
    </xf>
    <xf borderId="7" fillId="4" fontId="5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/>
    </xf>
    <xf borderId="0" fillId="7" fontId="15" numFmtId="0" xfId="0" applyAlignment="1" applyFill="1" applyFont="1">
      <alignment readingOrder="0" shrinkToFit="0" wrapText="0"/>
    </xf>
    <xf borderId="8" fillId="7" fontId="9" numFmtId="0" xfId="0" applyAlignment="1" applyBorder="1" applyFont="1">
      <alignment horizontal="center" vertical="center"/>
    </xf>
    <xf borderId="0" fillId="7" fontId="14" numFmtId="0" xfId="0" applyAlignment="1" applyFont="1">
      <alignment horizontal="center" readingOrder="0"/>
    </xf>
    <xf borderId="0" fillId="7" fontId="16" numFmtId="2" xfId="0" applyFont="1" applyNumberFormat="1"/>
    <xf borderId="0" fillId="0" fontId="16" numFmtId="4" xfId="0" applyFont="1" applyNumberFormat="1"/>
    <xf borderId="0" fillId="8" fontId="16" numFmtId="1" xfId="0" applyAlignment="1" applyFill="1" applyFont="1" applyNumberFormat="1">
      <alignment horizontal="center"/>
    </xf>
    <xf borderId="0" fillId="8" fontId="16" numFmtId="4" xfId="0" applyAlignment="1" applyFont="1" applyNumberFormat="1">
      <alignment horizontal="center"/>
    </xf>
    <xf borderId="7" fillId="4" fontId="17" numFmtId="0" xfId="0" applyAlignment="1" applyBorder="1" applyFont="1">
      <alignment horizontal="center" readingOrder="0" vertical="center"/>
    </xf>
    <xf borderId="7" fillId="4" fontId="17" numFmtId="3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10.0"/>
    <col customWidth="1" min="3" max="3" width="33.0"/>
    <col customWidth="1" min="4" max="4" width="8.13"/>
    <col customWidth="1" min="5" max="5" width="5.0"/>
    <col customWidth="1" min="6" max="6" width="26.25"/>
    <col customWidth="1" min="7" max="7" width="24.38"/>
    <col customWidth="1" min="8" max="8" width="19.25"/>
    <col customWidth="1" min="9" max="10" width="8.63"/>
    <col customWidth="1" min="11" max="11" width="11.75"/>
    <col customWidth="1" min="12" max="12" width="8.63"/>
    <col customWidth="1" min="13" max="13" width="11.75"/>
    <col customWidth="1" min="14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5" t="s">
        <v>1</v>
      </c>
      <c r="C3" s="6"/>
      <c r="D3" s="7"/>
      <c r="F3" s="5" t="s">
        <v>2</v>
      </c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8" t="s">
        <v>3</v>
      </c>
      <c r="C4" s="8" t="s">
        <v>4</v>
      </c>
      <c r="D4" s="8" t="s">
        <v>5</v>
      </c>
      <c r="F4" s="8" t="s">
        <v>6</v>
      </c>
      <c r="G4" s="8" t="s">
        <v>7</v>
      </c>
      <c r="H4" s="8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9">
        <v>1.0</v>
      </c>
      <c r="C5" s="10">
        <v>1200.0</v>
      </c>
      <c r="D5" s="11" t="s">
        <v>9</v>
      </c>
      <c r="F5" s="12" t="s">
        <v>10</v>
      </c>
      <c r="G5" s="13" t="s">
        <v>11</v>
      </c>
      <c r="H5" s="14">
        <f>COUNT(B5:B16)</f>
        <v>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15">
        <v>2.0</v>
      </c>
      <c r="C6" s="16">
        <v>1350.0</v>
      </c>
      <c r="D6" s="17" t="s">
        <v>12</v>
      </c>
      <c r="F6" s="18" t="s">
        <v>13</v>
      </c>
      <c r="G6" s="19">
        <v>6.5</v>
      </c>
      <c r="H6" s="20">
        <f>AVERAGE(B5:B16)</f>
        <v>6.5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9">
        <v>3.0</v>
      </c>
      <c r="C7" s="10">
        <v>1420.0</v>
      </c>
      <c r="D7" s="11" t="s">
        <v>14</v>
      </c>
      <c r="F7" s="12" t="s">
        <v>15</v>
      </c>
      <c r="G7" s="21">
        <f t="shared" ref="G7:G9" si="1">H7</f>
        <v>1804.166667</v>
      </c>
      <c r="H7" s="22">
        <f>AVERAGE(C5:C16)</f>
        <v>1804.166667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15">
        <v>4.0</v>
      </c>
      <c r="C8" s="16">
        <v>1500.0</v>
      </c>
      <c r="D8" s="17" t="s">
        <v>16</v>
      </c>
      <c r="F8" s="18" t="s">
        <v>17</v>
      </c>
      <c r="G8" s="23">
        <f t="shared" si="1"/>
        <v>15995</v>
      </c>
      <c r="H8" s="24">
        <f t="array" ref="H8">SUMPRODUCT((B5:B16-H6),(C5:C16-H7))</f>
        <v>15995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9">
        <v>5.0</v>
      </c>
      <c r="C9" s="10">
        <v>1620.0</v>
      </c>
      <c r="D9" s="11" t="s">
        <v>18</v>
      </c>
      <c r="F9" s="12" t="s">
        <v>19</v>
      </c>
      <c r="G9" s="25">
        <f t="shared" si="1"/>
        <v>143</v>
      </c>
      <c r="H9" s="14">
        <f t="array" ref="H9">SUMPRODUCT((B5:B16-H6)^2)</f>
        <v>143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15">
        <v>6.0</v>
      </c>
      <c r="C10" s="16">
        <v>1750.0</v>
      </c>
      <c r="D10" s="17" t="s">
        <v>20</v>
      </c>
      <c r="F10" s="26" t="s">
        <v>21</v>
      </c>
      <c r="G10" s="19" t="s">
        <v>22</v>
      </c>
      <c r="H10" s="20">
        <f>H8/H9</f>
        <v>111.8531469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9">
        <v>7.0</v>
      </c>
      <c r="C11" s="10">
        <v>1830.0</v>
      </c>
      <c r="D11" s="11" t="s">
        <v>23</v>
      </c>
      <c r="F11" s="27" t="s">
        <v>24</v>
      </c>
      <c r="G11" s="13" t="s">
        <v>25</v>
      </c>
      <c r="H11" s="28">
        <f>H7-H10*H6</f>
        <v>1077.121212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15">
        <v>8.0</v>
      </c>
      <c r="C12" s="16">
        <v>1950.0</v>
      </c>
      <c r="D12" s="17" t="s">
        <v>26</v>
      </c>
      <c r="F12" s="26" t="s">
        <v>27</v>
      </c>
      <c r="G12" s="19">
        <f>CORREL(B5:B16,C5:C16)</f>
        <v>0.9964416846</v>
      </c>
      <c r="H12" s="29">
        <f>CORREL(B5:B16,C5:C16)</f>
        <v>0.9964416846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9">
        <v>9.0</v>
      </c>
      <c r="C13" s="10">
        <v>2050.0</v>
      </c>
      <c r="D13" s="11" t="s">
        <v>28</v>
      </c>
      <c r="F13" s="12" t="s">
        <v>29</v>
      </c>
      <c r="G13" s="30">
        <f>H13</f>
        <v>0.9928960309</v>
      </c>
      <c r="H13" s="31">
        <f>H12^2</f>
        <v>0.9928960309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15">
        <v>10.0</v>
      </c>
      <c r="C14" s="16">
        <v>2180.0</v>
      </c>
      <c r="D14" s="17" t="s">
        <v>30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9">
        <v>11.0</v>
      </c>
      <c r="C15" s="10">
        <v>2300.0</v>
      </c>
      <c r="D15" s="11" t="s">
        <v>31</v>
      </c>
      <c r="F15" s="5" t="s">
        <v>32</v>
      </c>
      <c r="G15" s="6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15">
        <v>12.0</v>
      </c>
      <c r="C16" s="16">
        <v>2500.0</v>
      </c>
      <c r="D16" s="17" t="s">
        <v>33</v>
      </c>
      <c r="F16" s="8" t="s">
        <v>34</v>
      </c>
      <c r="G16" s="8" t="s">
        <v>35</v>
      </c>
      <c r="H16" s="8" t="s">
        <v>36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32" t="s">
        <v>37</v>
      </c>
      <c r="C17" s="33">
        <f>SUM(C5:C16)</f>
        <v>21650</v>
      </c>
      <c r="F17" s="34" t="s">
        <v>38</v>
      </c>
      <c r="G17" s="13" t="s">
        <v>39</v>
      </c>
      <c r="H17" s="35" t="s">
        <v>40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F18" s="36" t="s">
        <v>41</v>
      </c>
      <c r="G18" s="37" t="s">
        <v>42</v>
      </c>
      <c r="H18" s="15">
        <v>13.0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F19" s="26" t="s">
        <v>43</v>
      </c>
      <c r="G19" s="38" t="s">
        <v>44</v>
      </c>
      <c r="H19" s="39">
        <f>H11+(H10*H18)</f>
        <v>2531.212121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H1"/>
    <mergeCell ref="B3:D3"/>
    <mergeCell ref="F3:H3"/>
    <mergeCell ref="F15:H1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5"/>
    <col customWidth="1" min="2" max="2" width="13.13"/>
    <col customWidth="1" min="4" max="4" width="13.13"/>
    <col customWidth="1" min="5" max="5" width="19.25"/>
    <col customWidth="1" min="6" max="6" width="5.5"/>
    <col customWidth="1" min="7" max="7" width="13.5"/>
    <col customWidth="1" min="8" max="8" width="4.25"/>
    <col customWidth="1" min="9" max="9" width="13.5"/>
  </cols>
  <sheetData>
    <row r="1">
      <c r="A1" s="43" t="s">
        <v>45</v>
      </c>
      <c r="B1" s="2"/>
      <c r="C1" s="2"/>
      <c r="D1" s="2"/>
      <c r="E1" s="2"/>
      <c r="F1" s="2"/>
      <c r="G1" s="2"/>
      <c r="H1" s="2"/>
      <c r="I1" s="3"/>
    </row>
    <row r="4">
      <c r="A4" s="44" t="s">
        <v>46</v>
      </c>
      <c r="B4" s="6"/>
      <c r="C4" s="6"/>
      <c r="D4" s="6"/>
      <c r="F4" s="45" t="s">
        <v>47</v>
      </c>
    </row>
    <row r="5">
      <c r="A5" s="8" t="s">
        <v>48</v>
      </c>
      <c r="B5" s="46" t="s">
        <v>49</v>
      </c>
      <c r="C5" s="46" t="s">
        <v>50</v>
      </c>
      <c r="D5" s="46" t="s">
        <v>51</v>
      </c>
      <c r="E5" s="47"/>
      <c r="F5" s="46" t="s">
        <v>52</v>
      </c>
      <c r="G5" s="46" t="s">
        <v>53</v>
      </c>
    </row>
    <row r="6">
      <c r="A6" s="48" t="s">
        <v>54</v>
      </c>
      <c r="B6" s="49">
        <v>1.2</v>
      </c>
      <c r="C6" s="50" t="s">
        <v>55</v>
      </c>
      <c r="D6" s="51">
        <f>B6*'1.Histórico e Regressão'!$H$19</f>
        <v>3037.454545</v>
      </c>
      <c r="E6" s="52"/>
      <c r="F6" s="53">
        <v>1.0</v>
      </c>
      <c r="G6" s="54">
        <v>1200.0</v>
      </c>
    </row>
    <row r="7">
      <c r="A7" s="48" t="s">
        <v>56</v>
      </c>
      <c r="B7" s="49">
        <v>150.0</v>
      </c>
      <c r="C7" s="50" t="s">
        <v>57</v>
      </c>
      <c r="D7" s="51">
        <f>B7*'1.Histórico e Regressão'!$H$19</f>
        <v>379681.8182</v>
      </c>
      <c r="E7" s="52"/>
      <c r="F7" s="53">
        <v>2.0</v>
      </c>
      <c r="G7" s="54">
        <v>1350.0</v>
      </c>
    </row>
    <row r="8">
      <c r="A8" s="48" t="s">
        <v>58</v>
      </c>
      <c r="B8" s="49">
        <v>2.0</v>
      </c>
      <c r="C8" s="50" t="s">
        <v>57</v>
      </c>
      <c r="D8" s="51">
        <f>B8*'1.Histórico e Regressão'!$H$19</f>
        <v>5062.424242</v>
      </c>
      <c r="E8" s="52"/>
      <c r="F8" s="53">
        <v>3.0</v>
      </c>
      <c r="G8" s="54">
        <v>1420.0</v>
      </c>
    </row>
    <row r="9">
      <c r="A9" s="48" t="s">
        <v>59</v>
      </c>
      <c r="B9" s="49">
        <v>0.5</v>
      </c>
      <c r="C9" s="50" t="s">
        <v>57</v>
      </c>
      <c r="D9" s="51">
        <f>B9*'1.Histórico e Regressão'!$H$19</f>
        <v>1265.606061</v>
      </c>
      <c r="E9" s="52"/>
      <c r="F9" s="53">
        <v>4.0</v>
      </c>
      <c r="G9" s="54">
        <v>1500.0</v>
      </c>
    </row>
    <row r="10">
      <c r="A10" s="48" t="s">
        <v>60</v>
      </c>
      <c r="B10" s="49">
        <v>4.0</v>
      </c>
      <c r="C10" s="50" t="s">
        <v>57</v>
      </c>
      <c r="D10" s="51">
        <f>B10*'1.Histórico e Regressão'!$H$19</f>
        <v>10124.84848</v>
      </c>
      <c r="E10" s="52"/>
      <c r="F10" s="53">
        <v>5.0</v>
      </c>
      <c r="G10" s="54">
        <v>1620.0</v>
      </c>
    </row>
    <row r="11">
      <c r="A11" s="48" t="s">
        <v>61</v>
      </c>
      <c r="B11" s="49">
        <v>1.0</v>
      </c>
      <c r="C11" s="50" t="s">
        <v>62</v>
      </c>
      <c r="D11" s="51">
        <f>B11*'1.Histórico e Regressão'!$H$19</f>
        <v>2531.212121</v>
      </c>
      <c r="E11" s="52"/>
      <c r="F11" s="53">
        <v>6.0</v>
      </c>
      <c r="G11" s="54">
        <v>1750.0</v>
      </c>
    </row>
    <row r="12">
      <c r="A12" s="48" t="s">
        <v>63</v>
      </c>
      <c r="B12" s="49">
        <v>1.0</v>
      </c>
      <c r="C12" s="50" t="s">
        <v>62</v>
      </c>
      <c r="D12" s="51">
        <f>B12*'1.Histórico e Regressão'!$H$19</f>
        <v>2531.212121</v>
      </c>
      <c r="E12" s="52"/>
      <c r="F12" s="53">
        <v>7.0</v>
      </c>
      <c r="G12" s="54">
        <v>1830.0</v>
      </c>
    </row>
    <row r="13">
      <c r="A13" s="48" t="s">
        <v>64</v>
      </c>
      <c r="B13" s="49">
        <v>1.0</v>
      </c>
      <c r="C13" s="50" t="s">
        <v>62</v>
      </c>
      <c r="D13" s="51">
        <f>B13*'1.Histórico e Regressão'!$H$19</f>
        <v>2531.212121</v>
      </c>
      <c r="E13" s="52"/>
      <c r="F13" s="53">
        <v>8.0</v>
      </c>
      <c r="G13" s="54">
        <v>1950.0</v>
      </c>
    </row>
    <row r="14">
      <c r="F14" s="53">
        <v>9.0</v>
      </c>
      <c r="G14" s="54">
        <v>2050.0</v>
      </c>
    </row>
    <row r="15">
      <c r="F15" s="53">
        <v>10.0</v>
      </c>
      <c r="G15" s="54">
        <v>2180.0</v>
      </c>
    </row>
    <row r="16">
      <c r="F16" s="53">
        <v>11.0</v>
      </c>
      <c r="G16" s="54">
        <v>2300.0</v>
      </c>
    </row>
    <row r="17">
      <c r="F17" s="53">
        <v>12.0</v>
      </c>
      <c r="G17" s="54">
        <v>2500.0</v>
      </c>
    </row>
    <row r="18">
      <c r="F18" s="55">
        <v>13.0</v>
      </c>
      <c r="G18" s="56">
        <f>'1.Histórico e Regressão'!H19</f>
        <v>2531.212121</v>
      </c>
    </row>
  </sheetData>
  <mergeCells count="3">
    <mergeCell ref="A4:D4"/>
    <mergeCell ref="A1:I1"/>
    <mergeCell ref="F4:G4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2026-05-08T04:21:45Z</dcterms:created>
  <dc:creator>israel lisboa</dc:creator>
</cp:coreProperties>
</file>